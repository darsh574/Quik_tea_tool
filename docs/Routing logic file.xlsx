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 Pendharkar\Documents\Quikfoods\Inventory 2024\"/>
    </mc:Choice>
  </mc:AlternateContent>
  <xr:revisionPtr revIDLastSave="0" documentId="8_{B28CE53A-E9F3-4D52-8CCB-2530A56C6B4D}" xr6:coauthVersionLast="47" xr6:coauthVersionMax="47" xr10:uidLastSave="{00000000-0000-0000-0000-000000000000}"/>
  <bookViews>
    <workbookView xWindow="-98" yWindow="-98" windowWidth="21795" windowHeight="12975" xr2:uid="{27B9AA00-1B78-4E40-9238-493A7FF15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H5" i="1"/>
  <c r="K3" i="1"/>
  <c r="J3" i="1"/>
  <c r="H3" i="1"/>
  <c r="K2" i="1"/>
  <c r="J2" i="1"/>
  <c r="H2" i="1"/>
  <c r="M2" i="1" l="1"/>
  <c r="J6" i="1"/>
  <c r="J7" i="1" s="1"/>
</calcChain>
</file>

<file path=xl/sharedStrings.xml><?xml version="1.0" encoding="utf-8"?>
<sst xmlns="http://schemas.openxmlformats.org/spreadsheetml/2006/main" count="17" uniqueCount="17">
  <si>
    <t>10 ct</t>
  </si>
  <si>
    <t>20 ct</t>
  </si>
  <si>
    <t>tea bag</t>
  </si>
  <si>
    <t>Qty</t>
  </si>
  <si>
    <t>Height</t>
  </si>
  <si>
    <t>ti</t>
  </si>
  <si>
    <t>hi</t>
  </si>
  <si>
    <t>No of layers</t>
  </si>
  <si>
    <t>round up layers</t>
  </si>
  <si>
    <t>total ht</t>
  </si>
  <si>
    <t>check hi</t>
  </si>
  <si>
    <t>no. of pallets</t>
  </si>
  <si>
    <t>is less than max</t>
  </si>
  <si>
    <t>output</t>
  </si>
  <si>
    <t>pallet 1, 1layer</t>
  </si>
  <si>
    <t>pallet 2, 11</t>
  </si>
  <si>
    <t>pallet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</si>
</sst>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C2FE-EB9F-48B8-AEBA-F15F5404E490}">
  <dimension ref="A1:M7"/>
  <sheetViews>
    <sheetView tabSelected="1" workbookViewId="0">
      <selection activeCell="L5" sqref="L5"/>
    </sheetView>
  </sheetViews>
  <sheetFormatPr defaultRowHeight="14.25" x14ac:dyDescent="0.45"/>
  <cols>
    <col min="5" max="6" width="5.3984375" customWidth="1"/>
    <col min="8" max="8" width="11.73046875" bestFit="1" customWidth="1"/>
    <col min="9" max="9" width="13" bestFit="1" customWidth="1"/>
    <col min="12" max="12" width="13.19921875" bestFit="1" customWidth="1"/>
  </cols>
  <sheetData>
    <row r="1" spans="1:13" x14ac:dyDescent="0.45">
      <c r="B1" t="s">
        <v>3</v>
      </c>
      <c r="C1" t="s">
        <v>4</v>
      </c>
      <c r="E1" t="s">
        <v>5</v>
      </c>
      <c r="F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45">
      <c r="A2" t="s">
        <v>0</v>
      </c>
      <c r="B2">
        <v>25</v>
      </c>
      <c r="C2">
        <v>4.5</v>
      </c>
      <c r="E2">
        <v>11</v>
      </c>
      <c r="F2">
        <v>15</v>
      </c>
      <c r="H2">
        <f>B2/E2</f>
        <v>2.2727272727272729</v>
      </c>
      <c r="I2">
        <v>3</v>
      </c>
      <c r="J2">
        <f>I2*C2</f>
        <v>13.5</v>
      </c>
      <c r="K2">
        <f>72-6</f>
        <v>66</v>
      </c>
      <c r="L2" t="s">
        <v>12</v>
      </c>
      <c r="M2">
        <f>K2-J2</f>
        <v>52.5</v>
      </c>
    </row>
    <row r="3" spans="1:13" x14ac:dyDescent="0.45">
      <c r="A3" t="s">
        <v>1</v>
      </c>
      <c r="B3">
        <v>25</v>
      </c>
      <c r="C3">
        <v>5.5</v>
      </c>
      <c r="E3">
        <v>8</v>
      </c>
      <c r="F3">
        <v>11</v>
      </c>
      <c r="H3">
        <f>B3/E3</f>
        <v>3.125</v>
      </c>
      <c r="I3">
        <v>4</v>
      </c>
      <c r="J3">
        <f>I3*C3</f>
        <v>22</v>
      </c>
      <c r="K3">
        <f>72-6</f>
        <v>66</v>
      </c>
      <c r="L3" t="s">
        <v>14</v>
      </c>
    </row>
    <row r="4" spans="1:13" x14ac:dyDescent="0.45">
      <c r="L4" t="s">
        <v>15</v>
      </c>
    </row>
    <row r="5" spans="1:13" x14ac:dyDescent="0.45">
      <c r="A5" t="s">
        <v>2</v>
      </c>
      <c r="B5">
        <v>25</v>
      </c>
      <c r="C5">
        <v>5</v>
      </c>
      <c r="E5">
        <v>10</v>
      </c>
      <c r="F5">
        <v>11</v>
      </c>
      <c r="H5">
        <f>B5/E5</f>
        <v>2.5</v>
      </c>
      <c r="I5">
        <v>3</v>
      </c>
      <c r="J5">
        <f>I5*C5</f>
        <v>15</v>
      </c>
      <c r="K5">
        <f>72-6</f>
        <v>66</v>
      </c>
      <c r="L5" t="s">
        <v>16</v>
      </c>
    </row>
    <row r="6" spans="1:13" x14ac:dyDescent="0.45">
      <c r="J6">
        <f>SUM(J2:J5)</f>
        <v>50.5</v>
      </c>
    </row>
    <row r="7" spans="1:13" x14ac:dyDescent="0.45">
      <c r="J7">
        <f>J6/66</f>
        <v>0.76515151515151514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Pendharkar</dc:creator>
  <cp:lastModifiedBy>Viraj Pendharkar</cp:lastModifiedBy>
  <dcterms:created xsi:type="dcterms:W3CDTF">2026-09-05T16:49:04Z</dcterms:created>
  <dcterms:modified xsi:type="dcterms:W3CDTF">2026-09-05T16:59:39Z</dcterms:modified>
</cp:coreProperties>
</file>